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encia de Datos\7mo\Aprendizaje_automatico\Proyecto\"/>
    </mc:Choice>
  </mc:AlternateContent>
  <xr:revisionPtr revIDLastSave="0" documentId="13_ncr:1_{99D9B6B1-9452-4C21-927E-BA006636FA20}" xr6:coauthVersionLast="47" xr6:coauthVersionMax="47" xr10:uidLastSave="{00000000-0000-0000-0000-000000000000}"/>
  <bookViews>
    <workbookView xWindow="0" yWindow="360" windowWidth="23256" windowHeight="12456" activeTab="1" xr2:uid="{5D4945DB-682A-4CF8-AE52-1E509FE60920}"/>
  </bookViews>
  <sheets>
    <sheet name="Gastos mensuales" sheetId="7" r:id="rId1"/>
    <sheet name="Modelo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4" l="1"/>
  <c r="B14" i="4"/>
  <c r="D11" i="7"/>
  <c r="Z12" i="4"/>
  <c r="D10" i="7" l="1"/>
  <c r="D9" i="7"/>
  <c r="D3" i="7"/>
  <c r="D4" i="7"/>
  <c r="D5" i="7"/>
  <c r="D6" i="7"/>
  <c r="D7" i="7"/>
  <c r="D8" i="7"/>
  <c r="D2" i="7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C14" i="4"/>
  <c r="D14" i="4"/>
  <c r="E14" i="4"/>
  <c r="F14" i="4"/>
  <c r="G14" i="4"/>
  <c r="H14" i="4"/>
  <c r="I14" i="4"/>
  <c r="J14" i="4"/>
  <c r="B17" i="4"/>
  <c r="C17" i="4"/>
  <c r="D17" i="4"/>
  <c r="E17" i="4"/>
  <c r="F17" i="4"/>
  <c r="G17" i="4"/>
  <c r="H17" i="4"/>
  <c r="I17" i="4"/>
  <c r="J17" i="4"/>
  <c r="B19" i="4" l="1"/>
  <c r="J19" i="4"/>
  <c r="R19" i="4"/>
  <c r="Y19" i="4"/>
  <c r="C19" i="4"/>
  <c r="K19" i="4"/>
  <c r="S19" i="4"/>
  <c r="T19" i="4"/>
  <c r="D19" i="4"/>
  <c r="L19" i="4"/>
  <c r="E19" i="4"/>
  <c r="M19" i="4"/>
  <c r="U19" i="4"/>
  <c r="X19" i="4"/>
  <c r="F19" i="4"/>
  <c r="N19" i="4"/>
  <c r="V19" i="4"/>
  <c r="W19" i="4"/>
  <c r="G19" i="4"/>
  <c r="O19" i="4"/>
  <c r="H19" i="4"/>
  <c r="P19" i="4"/>
  <c r="I19" i="4"/>
  <c r="Q19" i="4"/>
  <c r="Z19" i="4" l="1"/>
  <c r="B13" i="4"/>
  <c r="B20" i="4" s="1"/>
  <c r="B15" i="4" l="1"/>
  <c r="C13" i="4"/>
  <c r="C20" i="4" s="1"/>
  <c r="B18" i="4"/>
  <c r="C15" i="4" l="1"/>
  <c r="D13" i="4"/>
  <c r="D20" i="4" s="1"/>
  <c r="C18" i="4"/>
  <c r="D15" i="4" l="1"/>
  <c r="E13" i="4"/>
  <c r="E20" i="4" s="1"/>
  <c r="D18" i="4"/>
  <c r="E15" i="4" l="1"/>
  <c r="F13" i="4"/>
  <c r="F20" i="4" s="1"/>
  <c r="E18" i="4"/>
  <c r="F15" i="4" l="1"/>
  <c r="G13" i="4"/>
  <c r="G20" i="4" s="1"/>
  <c r="F18" i="4"/>
  <c r="G15" i="4" l="1"/>
  <c r="H13" i="4"/>
  <c r="H20" i="4" s="1"/>
  <c r="G18" i="4"/>
  <c r="H15" i="4" l="1"/>
  <c r="I13" i="4"/>
  <c r="I20" i="4" s="1"/>
  <c r="H18" i="4"/>
  <c r="I15" i="4" l="1"/>
  <c r="I22" i="4" s="1"/>
  <c r="J13" i="4"/>
  <c r="J20" i="4" s="1"/>
  <c r="I18" i="4"/>
  <c r="I23" i="4" s="1"/>
  <c r="B23" i="4"/>
  <c r="C23" i="4"/>
  <c r="D23" i="4"/>
  <c r="E23" i="4"/>
  <c r="F23" i="4"/>
  <c r="G23" i="4"/>
  <c r="B22" i="4"/>
  <c r="C22" i="4"/>
  <c r="D22" i="4"/>
  <c r="E22" i="4"/>
  <c r="F22" i="4"/>
  <c r="G22" i="4"/>
  <c r="H22" i="4"/>
  <c r="H23" i="4"/>
  <c r="J15" i="4" l="1"/>
  <c r="J22" i="4" s="1"/>
  <c r="K13" i="4"/>
  <c r="K20" i="4" s="1"/>
  <c r="I25" i="4"/>
  <c r="J18" i="4"/>
  <c r="J23" i="4" s="1"/>
  <c r="C25" i="4"/>
  <c r="D25" i="4"/>
  <c r="G25" i="4"/>
  <c r="E25" i="4"/>
  <c r="H25" i="4"/>
  <c r="F25" i="4"/>
  <c r="B25" i="4"/>
  <c r="L13" i="4" l="1"/>
  <c r="L20" i="4" s="1"/>
  <c r="K15" i="4"/>
  <c r="K22" i="4" s="1"/>
  <c r="K18" i="4"/>
  <c r="K23" i="4" s="1"/>
  <c r="J25" i="4"/>
  <c r="K25" i="4" l="1"/>
  <c r="M13" i="4"/>
  <c r="M20" i="4" s="1"/>
  <c r="L15" i="4"/>
  <c r="L22" i="4" s="1"/>
  <c r="L18" i="4"/>
  <c r="L23" i="4" s="1"/>
  <c r="B6" i="4"/>
  <c r="L25" i="4" l="1"/>
  <c r="M15" i="4"/>
  <c r="M22" i="4" s="1"/>
  <c r="N13" i="4"/>
  <c r="N20" i="4" s="1"/>
  <c r="M18" i="4"/>
  <c r="M23" i="4" s="1"/>
  <c r="O13" i="4" l="1"/>
  <c r="O20" i="4" s="1"/>
  <c r="N18" i="4"/>
  <c r="N23" i="4" s="1"/>
  <c r="N15" i="4"/>
  <c r="N22" i="4" s="1"/>
  <c r="M25" i="4"/>
  <c r="N25" i="4" l="1"/>
  <c r="O15" i="4"/>
  <c r="O22" i="4" s="1"/>
  <c r="P13" i="4"/>
  <c r="P20" i="4" s="1"/>
  <c r="O18" i="4"/>
  <c r="O23" i="4" s="1"/>
  <c r="O25" i="4" l="1"/>
  <c r="P15" i="4"/>
  <c r="P22" i="4" s="1"/>
  <c r="Q13" i="4"/>
  <c r="Q20" i="4" s="1"/>
  <c r="P18" i="4"/>
  <c r="P23" i="4" s="1"/>
  <c r="Q18" i="4" l="1"/>
  <c r="Q23" i="4" s="1"/>
  <c r="R13" i="4"/>
  <c r="R20" i="4" s="1"/>
  <c r="Q15" i="4"/>
  <c r="Q22" i="4" s="1"/>
  <c r="P25" i="4"/>
  <c r="Q25" i="4" l="1"/>
  <c r="S13" i="4"/>
  <c r="S20" i="4" s="1"/>
  <c r="R18" i="4"/>
  <c r="R23" i="4" s="1"/>
  <c r="R15" i="4"/>
  <c r="R22" i="4" s="1"/>
  <c r="R25" i="4" l="1"/>
  <c r="S18" i="4"/>
  <c r="S23" i="4" s="1"/>
  <c r="S15" i="4"/>
  <c r="S22" i="4" s="1"/>
  <c r="T13" i="4"/>
  <c r="T20" i="4" s="1"/>
  <c r="S25" i="4" l="1"/>
  <c r="U13" i="4"/>
  <c r="U20" i="4" s="1"/>
  <c r="T15" i="4"/>
  <c r="T22" i="4" s="1"/>
  <c r="T18" i="4"/>
  <c r="T23" i="4" s="1"/>
  <c r="U15" i="4" l="1"/>
  <c r="U22" i="4" s="1"/>
  <c r="V13" i="4"/>
  <c r="V20" i="4" s="1"/>
  <c r="U18" i="4"/>
  <c r="U23" i="4" s="1"/>
  <c r="T25" i="4"/>
  <c r="V15" i="4" l="1"/>
  <c r="V22" i="4" s="1"/>
  <c r="V18" i="4"/>
  <c r="V23" i="4" s="1"/>
  <c r="W13" i="4"/>
  <c r="W20" i="4" s="1"/>
  <c r="U25" i="4"/>
  <c r="W15" i="4" l="1"/>
  <c r="W22" i="4" s="1"/>
  <c r="X13" i="4"/>
  <c r="X20" i="4" s="1"/>
  <c r="W18" i="4"/>
  <c r="W23" i="4" s="1"/>
  <c r="V25" i="4"/>
  <c r="X15" i="4" l="1"/>
  <c r="X22" i="4" s="1"/>
  <c r="Y13" i="4"/>
  <c r="Y20" i="4" s="1"/>
  <c r="X18" i="4"/>
  <c r="X23" i="4" s="1"/>
  <c r="W25" i="4"/>
  <c r="Z13" i="4" l="1"/>
  <c r="Z20" i="4"/>
  <c r="Y18" i="4"/>
  <c r="Y15" i="4"/>
  <c r="X25" i="4"/>
  <c r="Y22" i="4" l="1"/>
  <c r="Z22" i="4" s="1"/>
  <c r="Z15" i="4"/>
  <c r="Y23" i="4"/>
  <c r="Z23" i="4" s="1"/>
  <c r="Z18" i="4"/>
  <c r="Y25" i="4" l="1"/>
  <c r="Z25" i="4" l="1"/>
  <c r="F3" i="4"/>
</calcChain>
</file>

<file path=xl/sharedStrings.xml><?xml version="1.0" encoding="utf-8"?>
<sst xmlns="http://schemas.openxmlformats.org/spreadsheetml/2006/main" count="51" uniqueCount="40">
  <si>
    <t>Total</t>
  </si>
  <si>
    <t>Clientes al mes</t>
  </si>
  <si>
    <t>Configuración</t>
  </si>
  <si>
    <t>Renta</t>
  </si>
  <si>
    <t>Comisión 1</t>
  </si>
  <si>
    <t>Comisión 2</t>
  </si>
  <si>
    <t>Rentas</t>
  </si>
  <si>
    <t>Comisiones conf</t>
  </si>
  <si>
    <t>Comisiones renta</t>
  </si>
  <si>
    <t>Total ingresos</t>
  </si>
  <si>
    <t>Total gastos</t>
  </si>
  <si>
    <t>Proyección</t>
  </si>
  <si>
    <t>Primeros clientes</t>
  </si>
  <si>
    <t>Capital inicial (proy)</t>
  </si>
  <si>
    <t>Clientes proyectados</t>
  </si>
  <si>
    <t>Valor presente</t>
  </si>
  <si>
    <t>TIR</t>
  </si>
  <si>
    <t>Indicadores financieros</t>
  </si>
  <si>
    <t>Tasa de descuento</t>
  </si>
  <si>
    <t>Clientes reales</t>
  </si>
  <si>
    <t>Concepto</t>
  </si>
  <si>
    <t>Costo unitario</t>
  </si>
  <si>
    <t>Subtotal</t>
  </si>
  <si>
    <t>Nómina</t>
  </si>
  <si>
    <t>Marketing</t>
  </si>
  <si>
    <t>Software</t>
  </si>
  <si>
    <t>Legal</t>
  </si>
  <si>
    <t>Contabilidad</t>
  </si>
  <si>
    <t>Categoria</t>
  </si>
  <si>
    <t>Mensual</t>
  </si>
  <si>
    <t>Una vez</t>
  </si>
  <si>
    <t>Cantidad</t>
  </si>
  <si>
    <t>Computadoras</t>
  </si>
  <si>
    <t>Dominio</t>
  </si>
  <si>
    <t>Cuentas de correo</t>
  </si>
  <si>
    <t>Inicio</t>
  </si>
  <si>
    <t>Empleados variables</t>
  </si>
  <si>
    <t>Gastos fijo</t>
  </si>
  <si>
    <t>Gastos variables</t>
  </si>
  <si>
    <t>Clientes por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</si>
</sst>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;[Red]\-&quot;$&quot;#,##0.00"/>
    <numFmt numFmtId="165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2" borderId="0" applyNumberFormat="0" applyBorder="0" applyAlignment="0" applyProtection="0"/>
  </cellStyleXfs>
  <cellXfs count="20">
    <xf numFmtId="0" fontId="0" fillId="0" borderId="0" xfId="0"/>
    <xf numFmtId="43" fontId="0" fillId="0" borderId="0" xfId="1" applyFont="1"/>
    <xf numFmtId="0" fontId="4" fillId="3" borderId="0" xfId="0" applyFont="1" applyFill="1"/>
    <xf numFmtId="0" fontId="0" fillId="3" borderId="0" xfId="0" applyFill="1"/>
    <xf numFmtId="43" fontId="0" fillId="3" borderId="0" xfId="1" applyFont="1" applyFill="1" applyBorder="1"/>
    <xf numFmtId="10" fontId="0" fillId="3" borderId="0" xfId="0" applyNumberFormat="1" applyFill="1"/>
    <xf numFmtId="0" fontId="5" fillId="2" borderId="0" xfId="3" applyBorder="1"/>
    <xf numFmtId="17" fontId="5" fillId="2" borderId="0" xfId="3" applyNumberFormat="1" applyBorder="1"/>
    <xf numFmtId="165" fontId="0" fillId="3" borderId="0" xfId="0" applyNumberFormat="1" applyFill="1"/>
    <xf numFmtId="17" fontId="0" fillId="3" borderId="0" xfId="0" applyNumberFormat="1" applyFill="1"/>
    <xf numFmtId="0" fontId="4" fillId="0" borderId="0" xfId="0" applyFont="1"/>
    <xf numFmtId="43" fontId="0" fillId="3" borderId="0" xfId="1" applyFont="1" applyFill="1"/>
    <xf numFmtId="164" fontId="0" fillId="3" borderId="0" xfId="0" applyNumberFormat="1" applyFill="1"/>
    <xf numFmtId="0" fontId="4" fillId="3" borderId="0" xfId="0" applyFont="1" applyFill="1" applyAlignment="1">
      <alignment horizontal="center"/>
    </xf>
    <xf numFmtId="17" fontId="3" fillId="2" borderId="0" xfId="3" applyNumberFormat="1" applyFont="1" applyBorder="1"/>
    <xf numFmtId="17" fontId="0" fillId="0" borderId="0" xfId="0" applyNumberFormat="1"/>
    <xf numFmtId="0" fontId="4" fillId="3" borderId="0" xfId="0" applyFont="1" applyFill="1" applyAlignment="1">
      <alignment horizontal="center"/>
    </xf>
    <xf numFmtId="0" fontId="3" fillId="2" borderId="0" xfId="3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</cellXfs>
  <cellStyles count="4">
    <cellStyle name="Énfasis1" xfId="3" builtinId="29"/>
    <cellStyle name="Millares" xfId="1" builtinId="3"/>
    <cellStyle name="Normal" xfId="0" builtinId="0"/>
    <cellStyle name="Normal 3" xfId="2" xr:uid="{48DBD11C-8FEA-455C-8E26-856D8C76B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7190-C24D-47BC-ADE2-1A32E4291573}">
  <dimension ref="A1:F11"/>
  <sheetViews>
    <sheetView workbookViewId="0">
      <selection activeCell="F12" sqref="F12"/>
    </sheetView>
  </sheetViews>
  <sheetFormatPr baseColWidth="10" defaultRowHeight="14.4" x14ac:dyDescent="0.3"/>
  <cols>
    <col min="1" max="1" width="21.88671875" bestFit="1" customWidth="1"/>
    <col min="2" max="3" width="19.6640625" customWidth="1"/>
    <col min="4" max="4" width="15.88671875" customWidth="1"/>
  </cols>
  <sheetData>
    <row r="1" spans="1:6" x14ac:dyDescent="0.3">
      <c r="A1" s="14" t="s">
        <v>20</v>
      </c>
      <c r="B1" s="14" t="s">
        <v>31</v>
      </c>
      <c r="C1" s="14" t="s">
        <v>21</v>
      </c>
      <c r="D1" s="14" t="s">
        <v>22</v>
      </c>
      <c r="E1" s="14" t="s">
        <v>28</v>
      </c>
      <c r="F1" s="14" t="s">
        <v>35</v>
      </c>
    </row>
    <row r="2" spans="1:6" x14ac:dyDescent="0.3">
      <c r="A2" t="s">
        <v>23</v>
      </c>
      <c r="B2">
        <v>5</v>
      </c>
      <c r="C2">
        <v>50000</v>
      </c>
      <c r="D2">
        <f>C2*B2</f>
        <v>250000</v>
      </c>
      <c r="E2" t="s">
        <v>29</v>
      </c>
      <c r="F2" s="15">
        <v>44562</v>
      </c>
    </row>
    <row r="3" spans="1:6" x14ac:dyDescent="0.3">
      <c r="A3" t="s">
        <v>24</v>
      </c>
      <c r="B3">
        <v>1</v>
      </c>
      <c r="C3">
        <v>10000</v>
      </c>
      <c r="D3">
        <f t="shared" ref="D3:D11" si="0">C3*B3</f>
        <v>10000</v>
      </c>
      <c r="E3" t="s">
        <v>29</v>
      </c>
      <c r="F3" s="15">
        <v>44562</v>
      </c>
    </row>
    <row r="4" spans="1:6" x14ac:dyDescent="0.3">
      <c r="A4" t="s">
        <v>3</v>
      </c>
      <c r="B4">
        <v>1</v>
      </c>
      <c r="C4">
        <v>10000</v>
      </c>
      <c r="D4">
        <f t="shared" si="0"/>
        <v>10000</v>
      </c>
      <c r="E4" t="s">
        <v>29</v>
      </c>
      <c r="F4" s="15">
        <v>44562</v>
      </c>
    </row>
    <row r="5" spans="1:6" x14ac:dyDescent="0.3">
      <c r="A5" t="s">
        <v>32</v>
      </c>
      <c r="B5">
        <v>5</v>
      </c>
      <c r="C5">
        <v>20000</v>
      </c>
      <c r="D5">
        <f t="shared" si="0"/>
        <v>100000</v>
      </c>
      <c r="E5" t="s">
        <v>30</v>
      </c>
      <c r="F5" s="15">
        <v>44562</v>
      </c>
    </row>
    <row r="6" spans="1:6" x14ac:dyDescent="0.3">
      <c r="A6" t="s">
        <v>25</v>
      </c>
      <c r="B6">
        <v>2</v>
      </c>
      <c r="C6">
        <v>5000</v>
      </c>
      <c r="D6">
        <f t="shared" si="0"/>
        <v>10000</v>
      </c>
      <c r="E6" t="s">
        <v>30</v>
      </c>
      <c r="F6" s="15">
        <v>44562</v>
      </c>
    </row>
    <row r="7" spans="1:6" x14ac:dyDescent="0.3">
      <c r="A7" t="s">
        <v>26</v>
      </c>
      <c r="B7">
        <v>1</v>
      </c>
      <c r="C7">
        <v>10000</v>
      </c>
      <c r="D7">
        <f t="shared" si="0"/>
        <v>10000</v>
      </c>
      <c r="E7" t="s">
        <v>29</v>
      </c>
      <c r="F7" s="15">
        <v>44562</v>
      </c>
    </row>
    <row r="8" spans="1:6" x14ac:dyDescent="0.3">
      <c r="A8" t="s">
        <v>27</v>
      </c>
      <c r="B8">
        <v>1</v>
      </c>
      <c r="C8">
        <v>10000</v>
      </c>
      <c r="D8">
        <f t="shared" si="0"/>
        <v>10000</v>
      </c>
      <c r="E8" t="s">
        <v>29</v>
      </c>
      <c r="F8" s="15">
        <v>44562</v>
      </c>
    </row>
    <row r="9" spans="1:6" x14ac:dyDescent="0.3">
      <c r="A9" t="s">
        <v>33</v>
      </c>
      <c r="B9">
        <v>1</v>
      </c>
      <c r="C9">
        <v>1000</v>
      </c>
      <c r="D9">
        <f t="shared" si="0"/>
        <v>1000</v>
      </c>
      <c r="E9" t="s">
        <v>30</v>
      </c>
      <c r="F9" s="15">
        <v>44562</v>
      </c>
    </row>
    <row r="10" spans="1:6" x14ac:dyDescent="0.3">
      <c r="A10" t="s">
        <v>34</v>
      </c>
      <c r="B10">
        <v>5</v>
      </c>
      <c r="C10">
        <v>100</v>
      </c>
      <c r="D10">
        <f t="shared" si="0"/>
        <v>500</v>
      </c>
      <c r="E10" t="s">
        <v>29</v>
      </c>
      <c r="F10" s="15">
        <v>44562</v>
      </c>
    </row>
    <row r="11" spans="1:6" x14ac:dyDescent="0.3">
      <c r="A11" t="s">
        <v>36</v>
      </c>
      <c r="B11">
        <v>1</v>
      </c>
      <c r="C11">
        <v>20000</v>
      </c>
      <c r="D11">
        <f t="shared" si="0"/>
        <v>20000</v>
      </c>
      <c r="E11" t="s">
        <v>29</v>
      </c>
      <c r="F11" s="15">
        <v>44562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FA44-15F3-40AA-9EE6-275296BC319B}">
  <dimension ref="A1:AC25"/>
  <sheetViews>
    <sheetView tabSelected="1" topLeftCell="A3" zoomScale="110" zoomScaleNormal="100" workbookViewId="0">
      <selection activeCell="M28" sqref="M28"/>
    </sheetView>
  </sheetViews>
  <sheetFormatPr baseColWidth="10" defaultRowHeight="14.4" x14ac:dyDescent="0.3"/>
  <cols>
    <col min="1" max="1" width="22.44140625" bestFit="1" customWidth="1"/>
    <col min="2" max="2" width="13.88671875" bestFit="1" customWidth="1"/>
    <col min="3" max="3" width="12.109375" bestFit="1" customWidth="1"/>
    <col min="4" max="4" width="13.88671875" bestFit="1" customWidth="1"/>
    <col min="5" max="5" width="12.109375" bestFit="1" customWidth="1"/>
    <col min="6" max="6" width="13.88671875" bestFit="1" customWidth="1"/>
    <col min="7" max="10" width="12.109375" customWidth="1"/>
    <col min="11" max="11" width="14.6640625" customWidth="1"/>
    <col min="12" max="18" width="12.109375" customWidth="1"/>
    <col min="19" max="25" width="13.109375" bestFit="1" customWidth="1"/>
    <col min="26" max="26" width="13.88671875" bestFit="1" customWidth="1"/>
    <col min="29" max="29" width="13.109375" bestFit="1" customWidth="1"/>
  </cols>
  <sheetData>
    <row r="1" spans="1:29" x14ac:dyDescent="0.3">
      <c r="A1" s="2" t="s">
        <v>1</v>
      </c>
      <c r="B1" s="3">
        <v>2</v>
      </c>
      <c r="C1" s="3"/>
      <c r="D1" s="16" t="s">
        <v>17</v>
      </c>
      <c r="E1" s="16"/>
      <c r="F1" s="16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3"/>
      <c r="V1" s="3"/>
      <c r="W1" s="3"/>
      <c r="X1" s="3"/>
      <c r="Y1" s="3"/>
      <c r="Z1" s="3"/>
    </row>
    <row r="2" spans="1:29" x14ac:dyDescent="0.3">
      <c r="A2" s="2" t="s">
        <v>2</v>
      </c>
      <c r="B2" s="4">
        <v>0</v>
      </c>
      <c r="C2" s="3"/>
      <c r="D2" s="18" t="s">
        <v>18</v>
      </c>
      <c r="E2" s="18"/>
      <c r="F2">
        <v>0.3</v>
      </c>
      <c r="U2" s="3"/>
      <c r="V2" s="3"/>
      <c r="W2" s="3"/>
      <c r="X2" s="3"/>
      <c r="Y2" s="3"/>
      <c r="Z2" s="3"/>
    </row>
    <row r="3" spans="1:29" x14ac:dyDescent="0.3">
      <c r="A3" s="2" t="s">
        <v>3</v>
      </c>
      <c r="B3" s="4">
        <v>3500</v>
      </c>
      <c r="C3" s="3"/>
      <c r="D3" s="19" t="s">
        <v>15</v>
      </c>
      <c r="E3" s="19"/>
      <c r="F3" s="11">
        <f>NPV(F2/12,B25:Y25)</f>
        <v>-4277386.4025746267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3"/>
      <c r="V3" s="3"/>
      <c r="W3" s="3"/>
      <c r="X3" s="3"/>
      <c r="Y3" s="3"/>
      <c r="Z3" s="3"/>
    </row>
    <row r="4" spans="1:29" x14ac:dyDescent="0.3">
      <c r="A4" s="2" t="s">
        <v>4</v>
      </c>
      <c r="B4" s="5">
        <v>0.2</v>
      </c>
      <c r="C4" s="3"/>
      <c r="D4" s="19" t="s">
        <v>16</v>
      </c>
      <c r="E4" s="19"/>
      <c r="F4" s="5" t="e">
        <f>IRR(B25:Y25)*12</f>
        <v>#NUM!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3"/>
      <c r="V4" s="3"/>
      <c r="W4" s="3"/>
      <c r="X4" s="3"/>
      <c r="Y4" s="3"/>
      <c r="Z4" s="3"/>
    </row>
    <row r="5" spans="1:29" x14ac:dyDescent="0.3">
      <c r="A5" s="2" t="s">
        <v>5</v>
      </c>
      <c r="B5" s="5">
        <v>0.1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9" x14ac:dyDescent="0.3">
      <c r="A6" s="2" t="s">
        <v>13</v>
      </c>
      <c r="B6" s="8">
        <f>-1*SUMIF(B25:J25,"&lt;0")</f>
        <v>2511000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9" x14ac:dyDescent="0.3">
      <c r="A7" s="2" t="s">
        <v>39</v>
      </c>
      <c r="B7" s="8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9" x14ac:dyDescent="0.3">
      <c r="A8" s="2" t="s">
        <v>12</v>
      </c>
      <c r="B8" s="9">
        <v>45658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9" x14ac:dyDescent="0.3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9" x14ac:dyDescent="0.3">
      <c r="A10" s="17" t="s">
        <v>11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C10" s="1"/>
    </row>
    <row r="11" spans="1:29" x14ac:dyDescent="0.3">
      <c r="A11" s="6"/>
      <c r="B11" s="7">
        <v>45658</v>
      </c>
      <c r="C11" s="7">
        <v>45689</v>
      </c>
      <c r="D11" s="7">
        <v>45717</v>
      </c>
      <c r="E11" s="7">
        <v>45748</v>
      </c>
      <c r="F11" s="7">
        <v>45778</v>
      </c>
      <c r="G11" s="7">
        <v>45809</v>
      </c>
      <c r="H11" s="7">
        <v>45839</v>
      </c>
      <c r="I11" s="7">
        <v>45870</v>
      </c>
      <c r="J11" s="7">
        <v>45901</v>
      </c>
      <c r="K11" s="7">
        <v>45931</v>
      </c>
      <c r="L11" s="7">
        <v>45962</v>
      </c>
      <c r="M11" s="7">
        <v>45992</v>
      </c>
      <c r="N11" s="7">
        <v>46023</v>
      </c>
      <c r="O11" s="7">
        <v>46054</v>
      </c>
      <c r="P11" s="7">
        <v>46082</v>
      </c>
      <c r="Q11" s="7">
        <v>46113</v>
      </c>
      <c r="R11" s="7">
        <v>46143</v>
      </c>
      <c r="S11" s="7">
        <v>46174</v>
      </c>
      <c r="T11" s="7">
        <v>46204</v>
      </c>
      <c r="U11" s="7">
        <v>46235</v>
      </c>
      <c r="V11" s="7">
        <v>46266</v>
      </c>
      <c r="W11" s="7">
        <v>46296</v>
      </c>
      <c r="X11" s="7">
        <v>46327</v>
      </c>
      <c r="Y11" s="7">
        <v>46357</v>
      </c>
      <c r="Z11" s="6" t="s">
        <v>0</v>
      </c>
    </row>
    <row r="12" spans="1:29" x14ac:dyDescent="0.3">
      <c r="A12" s="10" t="s">
        <v>19</v>
      </c>
      <c r="B12">
        <v>2</v>
      </c>
      <c r="C12">
        <v>3</v>
      </c>
      <c r="D12">
        <v>3</v>
      </c>
      <c r="E12">
        <v>4</v>
      </c>
      <c r="F12">
        <v>4</v>
      </c>
      <c r="G12">
        <v>6</v>
      </c>
      <c r="H12">
        <v>7</v>
      </c>
      <c r="I12">
        <v>9</v>
      </c>
      <c r="J12">
        <v>9</v>
      </c>
      <c r="K12">
        <v>10</v>
      </c>
      <c r="L12">
        <v>10</v>
      </c>
      <c r="M12">
        <v>10</v>
      </c>
      <c r="N12">
        <v>14</v>
      </c>
      <c r="O12">
        <v>18</v>
      </c>
      <c r="P12">
        <v>20</v>
      </c>
      <c r="Q12">
        <v>22</v>
      </c>
      <c r="R12">
        <v>25</v>
      </c>
      <c r="S12">
        <v>30</v>
      </c>
      <c r="T12">
        <v>30</v>
      </c>
      <c r="U12">
        <v>30</v>
      </c>
      <c r="V12">
        <v>34</v>
      </c>
      <c r="W12">
        <v>37</v>
      </c>
      <c r="X12">
        <v>39</v>
      </c>
      <c r="Y12">
        <v>39</v>
      </c>
      <c r="Z12" s="8">
        <f t="shared" ref="Z12:Z23" si="0">SUM(B12:Y12)</f>
        <v>415</v>
      </c>
    </row>
    <row r="13" spans="1:29" x14ac:dyDescent="0.3">
      <c r="A13" s="2" t="s">
        <v>14</v>
      </c>
      <c r="B13" s="3">
        <f>IF(B11=$B$8,$B$1,IF(B11&gt;$B$8,#REF!+$B$1,0))</f>
        <v>2</v>
      </c>
      <c r="C13" s="3">
        <f t="shared" ref="C13:Y13" si="1">IF(C11=$B$8,$B$1,IF(C11&gt;$B$8,B13+$B$1,0))</f>
        <v>4</v>
      </c>
      <c r="D13" s="3">
        <f t="shared" si="1"/>
        <v>6</v>
      </c>
      <c r="E13" s="3">
        <f t="shared" si="1"/>
        <v>8</v>
      </c>
      <c r="F13" s="3">
        <f t="shared" si="1"/>
        <v>10</v>
      </c>
      <c r="G13" s="3">
        <f t="shared" si="1"/>
        <v>12</v>
      </c>
      <c r="H13" s="3">
        <f t="shared" si="1"/>
        <v>14</v>
      </c>
      <c r="I13" s="3">
        <f t="shared" si="1"/>
        <v>16</v>
      </c>
      <c r="J13" s="3">
        <f t="shared" si="1"/>
        <v>18</v>
      </c>
      <c r="K13" s="3">
        <f t="shared" si="1"/>
        <v>20</v>
      </c>
      <c r="L13" s="3">
        <f t="shared" si="1"/>
        <v>22</v>
      </c>
      <c r="M13" s="3">
        <f t="shared" si="1"/>
        <v>24</v>
      </c>
      <c r="N13" s="3">
        <f t="shared" si="1"/>
        <v>26</v>
      </c>
      <c r="O13" s="3">
        <f t="shared" si="1"/>
        <v>28</v>
      </c>
      <c r="P13" s="3">
        <f t="shared" si="1"/>
        <v>30</v>
      </c>
      <c r="Q13" s="3">
        <f t="shared" si="1"/>
        <v>32</v>
      </c>
      <c r="R13" s="3">
        <f t="shared" si="1"/>
        <v>34</v>
      </c>
      <c r="S13" s="3">
        <f t="shared" si="1"/>
        <v>36</v>
      </c>
      <c r="T13" s="3">
        <f t="shared" si="1"/>
        <v>38</v>
      </c>
      <c r="U13" s="3">
        <f t="shared" si="1"/>
        <v>40</v>
      </c>
      <c r="V13" s="3">
        <f t="shared" si="1"/>
        <v>42</v>
      </c>
      <c r="W13" s="3">
        <f t="shared" si="1"/>
        <v>44</v>
      </c>
      <c r="X13" s="3">
        <f t="shared" si="1"/>
        <v>46</v>
      </c>
      <c r="Y13" s="3">
        <f t="shared" si="1"/>
        <v>48</v>
      </c>
      <c r="Z13" s="8">
        <f t="shared" si="0"/>
        <v>600</v>
      </c>
    </row>
    <row r="14" spans="1:29" x14ac:dyDescent="0.3">
      <c r="A14" s="2" t="s">
        <v>2</v>
      </c>
      <c r="B14" s="11">
        <f>IF(B11&gt;=$B$8,$B$1*$B$2,0)</f>
        <v>0</v>
      </c>
      <c r="C14" s="11">
        <f t="shared" ref="B14:Y14" si="2">IF(C11&gt;=$B$8,$B$1*$B$2,0)</f>
        <v>0</v>
      </c>
      <c r="D14" s="11">
        <f t="shared" si="2"/>
        <v>0</v>
      </c>
      <c r="E14" s="11">
        <f t="shared" si="2"/>
        <v>0</v>
      </c>
      <c r="F14" s="11">
        <f t="shared" si="2"/>
        <v>0</v>
      </c>
      <c r="G14" s="11">
        <f t="shared" si="2"/>
        <v>0</v>
      </c>
      <c r="H14" s="11">
        <f t="shared" si="2"/>
        <v>0</v>
      </c>
      <c r="I14" s="11">
        <f t="shared" si="2"/>
        <v>0</v>
      </c>
      <c r="J14" s="11">
        <f t="shared" si="2"/>
        <v>0</v>
      </c>
      <c r="K14" s="11">
        <f t="shared" si="2"/>
        <v>0</v>
      </c>
      <c r="L14" s="11">
        <f t="shared" si="2"/>
        <v>0</v>
      </c>
      <c r="M14" s="11">
        <f t="shared" si="2"/>
        <v>0</v>
      </c>
      <c r="N14" s="11">
        <f t="shared" si="2"/>
        <v>0</v>
      </c>
      <c r="O14" s="11">
        <f t="shared" si="2"/>
        <v>0</v>
      </c>
      <c r="P14" s="11">
        <f t="shared" si="2"/>
        <v>0</v>
      </c>
      <c r="Q14" s="11">
        <f t="shared" si="2"/>
        <v>0</v>
      </c>
      <c r="R14" s="11">
        <f t="shared" si="2"/>
        <v>0</v>
      </c>
      <c r="S14" s="11">
        <f t="shared" si="2"/>
        <v>0</v>
      </c>
      <c r="T14" s="11">
        <f t="shared" si="2"/>
        <v>0</v>
      </c>
      <c r="U14" s="11">
        <f t="shared" si="2"/>
        <v>0</v>
      </c>
      <c r="V14" s="11">
        <f t="shared" si="2"/>
        <v>0</v>
      </c>
      <c r="W14" s="11">
        <f t="shared" si="2"/>
        <v>0</v>
      </c>
      <c r="X14" s="11">
        <f t="shared" si="2"/>
        <v>0</v>
      </c>
      <c r="Y14" s="11">
        <f t="shared" si="2"/>
        <v>0</v>
      </c>
      <c r="Z14" s="8"/>
    </row>
    <row r="15" spans="1:29" x14ac:dyDescent="0.3">
      <c r="A15" s="2" t="s">
        <v>6</v>
      </c>
      <c r="B15" s="8">
        <f t="shared" ref="B15:J15" si="3">B13*$B$3</f>
        <v>7000</v>
      </c>
      <c r="C15" s="8">
        <f t="shared" si="3"/>
        <v>14000</v>
      </c>
      <c r="D15" s="8">
        <f t="shared" si="3"/>
        <v>21000</v>
      </c>
      <c r="E15" s="8">
        <f t="shared" si="3"/>
        <v>28000</v>
      </c>
      <c r="F15" s="8">
        <f t="shared" si="3"/>
        <v>35000</v>
      </c>
      <c r="G15" s="8">
        <f t="shared" si="3"/>
        <v>42000</v>
      </c>
      <c r="H15" s="8">
        <f t="shared" si="3"/>
        <v>49000</v>
      </c>
      <c r="I15" s="8">
        <f t="shared" si="3"/>
        <v>56000</v>
      </c>
      <c r="J15" s="8">
        <f t="shared" si="3"/>
        <v>63000</v>
      </c>
      <c r="K15" s="8">
        <f t="shared" ref="K15:Y15" si="4">K13*$B$3</f>
        <v>70000</v>
      </c>
      <c r="L15" s="8">
        <f t="shared" si="4"/>
        <v>77000</v>
      </c>
      <c r="M15" s="8">
        <f t="shared" si="4"/>
        <v>84000</v>
      </c>
      <c r="N15" s="8">
        <f t="shared" si="4"/>
        <v>91000</v>
      </c>
      <c r="O15" s="8">
        <f t="shared" si="4"/>
        <v>98000</v>
      </c>
      <c r="P15" s="8">
        <f t="shared" si="4"/>
        <v>105000</v>
      </c>
      <c r="Q15" s="8">
        <f t="shared" si="4"/>
        <v>112000</v>
      </c>
      <c r="R15" s="8">
        <f t="shared" si="4"/>
        <v>119000</v>
      </c>
      <c r="S15" s="8">
        <f t="shared" si="4"/>
        <v>126000</v>
      </c>
      <c r="T15" s="8">
        <f t="shared" si="4"/>
        <v>133000</v>
      </c>
      <c r="U15" s="8">
        <f t="shared" si="4"/>
        <v>140000</v>
      </c>
      <c r="V15" s="8">
        <f t="shared" si="4"/>
        <v>147000</v>
      </c>
      <c r="W15" s="8">
        <f t="shared" si="4"/>
        <v>154000</v>
      </c>
      <c r="X15" s="8">
        <f t="shared" si="4"/>
        <v>161000</v>
      </c>
      <c r="Y15" s="8">
        <f t="shared" si="4"/>
        <v>168000</v>
      </c>
      <c r="Z15" s="8">
        <f t="shared" si="0"/>
        <v>2100000</v>
      </c>
    </row>
    <row r="16" spans="1:29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8"/>
    </row>
    <row r="17" spans="1:26" x14ac:dyDescent="0.3">
      <c r="A17" s="2" t="s">
        <v>7</v>
      </c>
      <c r="B17" s="8">
        <f t="shared" ref="B17:Y17" si="5">IF(B11&gt;=$B$8,$B$2*$B$4*$B$1,0)</f>
        <v>0</v>
      </c>
      <c r="C17" s="8">
        <f t="shared" si="5"/>
        <v>0</v>
      </c>
      <c r="D17" s="8">
        <f t="shared" si="5"/>
        <v>0</v>
      </c>
      <c r="E17" s="8">
        <f t="shared" si="5"/>
        <v>0</v>
      </c>
      <c r="F17" s="8">
        <f t="shared" si="5"/>
        <v>0</v>
      </c>
      <c r="G17" s="8">
        <f t="shared" si="5"/>
        <v>0</v>
      </c>
      <c r="H17" s="8">
        <f t="shared" si="5"/>
        <v>0</v>
      </c>
      <c r="I17" s="8">
        <f t="shared" si="5"/>
        <v>0</v>
      </c>
      <c r="J17" s="8">
        <f t="shared" si="5"/>
        <v>0</v>
      </c>
      <c r="K17" s="8">
        <f t="shared" si="5"/>
        <v>0</v>
      </c>
      <c r="L17" s="8">
        <f t="shared" si="5"/>
        <v>0</v>
      </c>
      <c r="M17" s="8">
        <f t="shared" si="5"/>
        <v>0</v>
      </c>
      <c r="N17" s="8">
        <f t="shared" si="5"/>
        <v>0</v>
      </c>
      <c r="O17" s="8">
        <f t="shared" si="5"/>
        <v>0</v>
      </c>
      <c r="P17" s="8">
        <f t="shared" si="5"/>
        <v>0</v>
      </c>
      <c r="Q17" s="8">
        <f t="shared" si="5"/>
        <v>0</v>
      </c>
      <c r="R17" s="8">
        <f t="shared" si="5"/>
        <v>0</v>
      </c>
      <c r="S17" s="8">
        <f t="shared" si="5"/>
        <v>0</v>
      </c>
      <c r="T17" s="8">
        <f t="shared" si="5"/>
        <v>0</v>
      </c>
      <c r="U17" s="8">
        <f t="shared" si="5"/>
        <v>0</v>
      </c>
      <c r="V17" s="8">
        <f t="shared" si="5"/>
        <v>0</v>
      </c>
      <c r="W17" s="8">
        <f t="shared" si="5"/>
        <v>0</v>
      </c>
      <c r="X17" s="8">
        <f t="shared" si="5"/>
        <v>0</v>
      </c>
      <c r="Y17" s="8">
        <f t="shared" si="5"/>
        <v>0</v>
      </c>
      <c r="Z17" s="8"/>
    </row>
    <row r="18" spans="1:26" x14ac:dyDescent="0.3">
      <c r="A18" s="2" t="s">
        <v>8</v>
      </c>
      <c r="B18" s="8">
        <f t="shared" ref="B18:Y18" si="6">IF(B11&gt;=$B$8,$B$3*$B$5*B13,0)</f>
        <v>700</v>
      </c>
      <c r="C18" s="8">
        <f t="shared" si="6"/>
        <v>1400</v>
      </c>
      <c r="D18" s="8">
        <f t="shared" si="6"/>
        <v>2100</v>
      </c>
      <c r="E18" s="8">
        <f t="shared" si="6"/>
        <v>2800</v>
      </c>
      <c r="F18" s="8">
        <f t="shared" si="6"/>
        <v>3500</v>
      </c>
      <c r="G18" s="8">
        <f t="shared" si="6"/>
        <v>4200</v>
      </c>
      <c r="H18" s="8">
        <f t="shared" si="6"/>
        <v>4900</v>
      </c>
      <c r="I18" s="8">
        <f t="shared" si="6"/>
        <v>5600</v>
      </c>
      <c r="J18" s="8">
        <f t="shared" si="6"/>
        <v>6300</v>
      </c>
      <c r="K18" s="8">
        <f t="shared" si="6"/>
        <v>7000</v>
      </c>
      <c r="L18" s="8">
        <f t="shared" si="6"/>
        <v>7700</v>
      </c>
      <c r="M18" s="8">
        <f t="shared" si="6"/>
        <v>8400</v>
      </c>
      <c r="N18" s="8">
        <f t="shared" si="6"/>
        <v>9100</v>
      </c>
      <c r="O18" s="8">
        <f t="shared" si="6"/>
        <v>9800</v>
      </c>
      <c r="P18" s="8">
        <f t="shared" si="6"/>
        <v>10500</v>
      </c>
      <c r="Q18" s="8">
        <f t="shared" si="6"/>
        <v>11200</v>
      </c>
      <c r="R18" s="8">
        <f t="shared" si="6"/>
        <v>11900</v>
      </c>
      <c r="S18" s="8">
        <f t="shared" si="6"/>
        <v>12600</v>
      </c>
      <c r="T18" s="8">
        <f t="shared" si="6"/>
        <v>13300</v>
      </c>
      <c r="U18" s="8">
        <f t="shared" si="6"/>
        <v>14000</v>
      </c>
      <c r="V18" s="8">
        <f t="shared" si="6"/>
        <v>14700</v>
      </c>
      <c r="W18" s="8">
        <f t="shared" si="6"/>
        <v>15400</v>
      </c>
      <c r="X18" s="8">
        <f t="shared" si="6"/>
        <v>16100</v>
      </c>
      <c r="Y18" s="8">
        <f t="shared" si="6"/>
        <v>16800</v>
      </c>
      <c r="Z18" s="8">
        <f t="shared" si="0"/>
        <v>210000</v>
      </c>
    </row>
    <row r="19" spans="1:26" x14ac:dyDescent="0.3">
      <c r="A19" s="2" t="s">
        <v>37</v>
      </c>
      <c r="B19" s="8">
        <f>SUMIFS('Gastos mensuales'!$D$2:$D$50,'Gastos mensuales'!$F$2:$F$50,"&lt;="&amp;Modelo!B11,'Gastos mensuales'!$E$2:$E$50,"Mensual")+SUMIFS('Gastos mensuales'!$D$2:$D$50,'Gastos mensuales'!$F$2:$F$50,"="&amp;Modelo!B11,'Gastos mensuales'!$E$2:$E$50,"Mensual")</f>
        <v>310500</v>
      </c>
      <c r="C19" s="8">
        <f>SUMIFS('Gastos mensuales'!$D$2:$D$50,'Gastos mensuales'!$F$2:$F$50,"&lt;="&amp;Modelo!C11,'Gastos mensuales'!$E$2:$E$50,"Mensual")+SUMIFS('Gastos mensuales'!$D$2:$D$50,'Gastos mensuales'!$F$2:$F$50,"="&amp;Modelo!C11,'Gastos mensuales'!$E$2:$E$50,"Mensual")</f>
        <v>310500</v>
      </c>
      <c r="D19" s="8">
        <f>SUMIFS('Gastos mensuales'!$D$2:$D$50,'Gastos mensuales'!$F$2:$F$50,"&lt;="&amp;Modelo!D11,'Gastos mensuales'!$E$2:$E$50,"Mensual")+SUMIFS('Gastos mensuales'!$D$2:$D$50,'Gastos mensuales'!$F$2:$F$50,"="&amp;Modelo!D11,'Gastos mensuales'!$E$2:$E$50,"Mensual")</f>
        <v>310500</v>
      </c>
      <c r="E19" s="8">
        <f>SUMIFS('Gastos mensuales'!$D$2:$D$50,'Gastos mensuales'!$F$2:$F$50,"&lt;="&amp;Modelo!E11,'Gastos mensuales'!$E$2:$E$50,"Mensual")+SUMIFS('Gastos mensuales'!$D$2:$D$50,'Gastos mensuales'!$F$2:$F$50,"="&amp;Modelo!E11,'Gastos mensuales'!$E$2:$E$50,"Mensual")</f>
        <v>310500</v>
      </c>
      <c r="F19" s="8">
        <f>SUMIFS('Gastos mensuales'!$D$2:$D$50,'Gastos mensuales'!$F$2:$F$50,"&lt;="&amp;Modelo!F11,'Gastos mensuales'!$E$2:$E$50,"Mensual")+SUMIFS('Gastos mensuales'!$D$2:$D$50,'Gastos mensuales'!$F$2:$F$50,"="&amp;Modelo!F11,'Gastos mensuales'!$E$2:$E$50,"Mensual")</f>
        <v>310500</v>
      </c>
      <c r="G19" s="8">
        <f>SUMIFS('Gastos mensuales'!$D$2:$D$50,'Gastos mensuales'!$F$2:$F$50,"&lt;="&amp;Modelo!G11,'Gastos mensuales'!$E$2:$E$50,"Mensual")+SUMIFS('Gastos mensuales'!$D$2:$D$50,'Gastos mensuales'!$F$2:$F$50,"="&amp;Modelo!G11,'Gastos mensuales'!$E$2:$E$50,"Mensual")</f>
        <v>310500</v>
      </c>
      <c r="H19" s="8">
        <f>SUMIFS('Gastos mensuales'!$D$2:$D$50,'Gastos mensuales'!$F$2:$F$50,"&lt;="&amp;Modelo!H11,'Gastos mensuales'!$E$2:$E$50,"Mensual")+SUMIFS('Gastos mensuales'!$D$2:$D$50,'Gastos mensuales'!$F$2:$F$50,"="&amp;Modelo!H11,'Gastos mensuales'!$E$2:$E$50,"Mensual")</f>
        <v>310500</v>
      </c>
      <c r="I19" s="8">
        <f>SUMIFS('Gastos mensuales'!$D$2:$D$50,'Gastos mensuales'!$F$2:$F$50,"&lt;="&amp;Modelo!I11,'Gastos mensuales'!$E$2:$E$50,"Mensual")+SUMIFS('Gastos mensuales'!$D$2:$D$50,'Gastos mensuales'!$F$2:$F$50,"="&amp;Modelo!I11,'Gastos mensuales'!$E$2:$E$50,"Mensual")</f>
        <v>310500</v>
      </c>
      <c r="J19" s="8">
        <f>SUMIFS('Gastos mensuales'!$D$2:$D$50,'Gastos mensuales'!$F$2:$F$50,"&lt;="&amp;Modelo!J11,'Gastos mensuales'!$E$2:$E$50,"Mensual")+SUMIFS('Gastos mensuales'!$D$2:$D$50,'Gastos mensuales'!$F$2:$F$50,"="&amp;Modelo!J11,'Gastos mensuales'!$E$2:$E$50,"Mensual")</f>
        <v>310500</v>
      </c>
      <c r="K19" s="8">
        <f>SUMIFS('Gastos mensuales'!$D$2:$D$50,'Gastos mensuales'!$F$2:$F$50,"&lt;="&amp;Modelo!K11,'Gastos mensuales'!$E$2:$E$50,"Mensual")+SUMIFS('Gastos mensuales'!$D$2:$D$50,'Gastos mensuales'!$F$2:$F$50,"="&amp;Modelo!K11,'Gastos mensuales'!$E$2:$E$50,"Mensual")</f>
        <v>310500</v>
      </c>
      <c r="L19" s="8">
        <f>SUMIFS('Gastos mensuales'!$D$2:$D$50,'Gastos mensuales'!$F$2:$F$50,"&lt;="&amp;Modelo!L11,'Gastos mensuales'!$E$2:$E$50,"Mensual")+SUMIFS('Gastos mensuales'!$D$2:$D$50,'Gastos mensuales'!$F$2:$F$50,"="&amp;Modelo!L11,'Gastos mensuales'!$E$2:$E$50,"Mensual")</f>
        <v>310500</v>
      </c>
      <c r="M19" s="8">
        <f>SUMIFS('Gastos mensuales'!$D$2:$D$50,'Gastos mensuales'!$F$2:$F$50,"&lt;="&amp;Modelo!M11,'Gastos mensuales'!$E$2:$E$50,"Mensual")+SUMIFS('Gastos mensuales'!$D$2:$D$50,'Gastos mensuales'!$F$2:$F$50,"="&amp;Modelo!M11,'Gastos mensuales'!$E$2:$E$50,"Mensual")</f>
        <v>310500</v>
      </c>
      <c r="N19" s="8">
        <f>SUMIFS('Gastos mensuales'!$D$2:$D$50,'Gastos mensuales'!$F$2:$F$50,"&lt;="&amp;Modelo!N11,'Gastos mensuales'!$E$2:$E$50,"Mensual")+SUMIFS('Gastos mensuales'!$D$2:$D$50,'Gastos mensuales'!$F$2:$F$50,"="&amp;Modelo!N11,'Gastos mensuales'!$E$2:$E$50,"Mensual")</f>
        <v>310500</v>
      </c>
      <c r="O19" s="8">
        <f>SUMIFS('Gastos mensuales'!$D$2:$D$50,'Gastos mensuales'!$F$2:$F$50,"&lt;="&amp;Modelo!O11,'Gastos mensuales'!$E$2:$E$50,"Mensual")+SUMIFS('Gastos mensuales'!$D$2:$D$50,'Gastos mensuales'!$F$2:$F$50,"="&amp;Modelo!O11,'Gastos mensuales'!$E$2:$E$50,"Mensual")</f>
        <v>310500</v>
      </c>
      <c r="P19" s="8">
        <f>SUMIFS('Gastos mensuales'!$D$2:$D$50,'Gastos mensuales'!$F$2:$F$50,"&lt;="&amp;Modelo!P11,'Gastos mensuales'!$E$2:$E$50,"Mensual")+SUMIFS('Gastos mensuales'!$D$2:$D$50,'Gastos mensuales'!$F$2:$F$50,"="&amp;Modelo!P11,'Gastos mensuales'!$E$2:$E$50,"Mensual")</f>
        <v>310500</v>
      </c>
      <c r="Q19" s="8">
        <f>SUMIFS('Gastos mensuales'!$D$2:$D$50,'Gastos mensuales'!$F$2:$F$50,"&lt;="&amp;Modelo!Q11,'Gastos mensuales'!$E$2:$E$50,"Mensual")+SUMIFS('Gastos mensuales'!$D$2:$D$50,'Gastos mensuales'!$F$2:$F$50,"="&amp;Modelo!Q11,'Gastos mensuales'!$E$2:$E$50,"Mensual")</f>
        <v>310500</v>
      </c>
      <c r="R19" s="8">
        <f>SUMIFS('Gastos mensuales'!$D$2:$D$50,'Gastos mensuales'!$F$2:$F$50,"&lt;="&amp;Modelo!R11,'Gastos mensuales'!$E$2:$E$50,"Mensual")+SUMIFS('Gastos mensuales'!$D$2:$D$50,'Gastos mensuales'!$F$2:$F$50,"="&amp;Modelo!R11,'Gastos mensuales'!$E$2:$E$50,"Mensual")</f>
        <v>310500</v>
      </c>
      <c r="S19" s="8">
        <f>SUMIFS('Gastos mensuales'!$D$2:$D$50,'Gastos mensuales'!$F$2:$F$50,"&lt;="&amp;Modelo!S11,'Gastos mensuales'!$E$2:$E$50,"Mensual")+SUMIFS('Gastos mensuales'!$D$2:$D$50,'Gastos mensuales'!$F$2:$F$50,"="&amp;Modelo!S11,'Gastos mensuales'!$E$2:$E$50,"Mensual")</f>
        <v>310500</v>
      </c>
      <c r="T19" s="8">
        <f>SUMIFS('Gastos mensuales'!$D$2:$D$50,'Gastos mensuales'!$F$2:$F$50,"&lt;="&amp;Modelo!T11,'Gastos mensuales'!$E$2:$E$50,"Mensual")+SUMIFS('Gastos mensuales'!$D$2:$D$50,'Gastos mensuales'!$F$2:$F$50,"="&amp;Modelo!T11,'Gastos mensuales'!$E$2:$E$50,"Mensual")</f>
        <v>310500</v>
      </c>
      <c r="U19" s="8">
        <f>SUMIFS('Gastos mensuales'!$D$2:$D$50,'Gastos mensuales'!$F$2:$F$50,"&lt;="&amp;Modelo!U11,'Gastos mensuales'!$E$2:$E$50,"Mensual")+SUMIFS('Gastos mensuales'!$D$2:$D$50,'Gastos mensuales'!$F$2:$F$50,"="&amp;Modelo!U11,'Gastos mensuales'!$E$2:$E$50,"Mensual")</f>
        <v>310500</v>
      </c>
      <c r="V19" s="8">
        <f>SUMIFS('Gastos mensuales'!$D$2:$D$50,'Gastos mensuales'!$F$2:$F$50,"&lt;="&amp;Modelo!V11,'Gastos mensuales'!$E$2:$E$50,"Mensual")+SUMIFS('Gastos mensuales'!$D$2:$D$50,'Gastos mensuales'!$F$2:$F$50,"="&amp;Modelo!V11,'Gastos mensuales'!$E$2:$E$50,"Mensual")</f>
        <v>310500</v>
      </c>
      <c r="W19" s="8">
        <f>SUMIFS('Gastos mensuales'!$D$2:$D$50,'Gastos mensuales'!$F$2:$F$50,"&lt;="&amp;Modelo!W11,'Gastos mensuales'!$E$2:$E$50,"Mensual")+SUMIFS('Gastos mensuales'!$D$2:$D$50,'Gastos mensuales'!$F$2:$F$50,"="&amp;Modelo!W11,'Gastos mensuales'!$E$2:$E$50,"Mensual")</f>
        <v>310500</v>
      </c>
      <c r="X19" s="8">
        <f>SUMIFS('Gastos mensuales'!$D$2:$D$50,'Gastos mensuales'!$F$2:$F$50,"&lt;="&amp;Modelo!X11,'Gastos mensuales'!$E$2:$E$50,"Mensual")+SUMIFS('Gastos mensuales'!$D$2:$D$50,'Gastos mensuales'!$F$2:$F$50,"="&amp;Modelo!X11,'Gastos mensuales'!$E$2:$E$50,"Mensual")</f>
        <v>310500</v>
      </c>
      <c r="Y19" s="8">
        <f>SUMIFS('Gastos mensuales'!$D$2:$D$50,'Gastos mensuales'!$F$2:$F$50,"&lt;="&amp;Modelo!Y11,'Gastos mensuales'!$E$2:$E$50,"Mensual")+SUMIFS('Gastos mensuales'!$D$2:$D$50,'Gastos mensuales'!$F$2:$F$50,"="&amp;Modelo!Y11,'Gastos mensuales'!$E$2:$E$50,"Mensual")</f>
        <v>310500</v>
      </c>
      <c r="Z19" s="8">
        <f t="shared" si="0"/>
        <v>7452000</v>
      </c>
    </row>
    <row r="20" spans="1:26" x14ac:dyDescent="0.3">
      <c r="A20" s="2" t="s">
        <v>38</v>
      </c>
      <c r="B20" s="8">
        <f>'Gastos mensuales'!$D$11*B13/$B$7</f>
        <v>8000</v>
      </c>
      <c r="C20" s="8">
        <f>'Gastos mensuales'!$D$11*C13/$B$7</f>
        <v>16000</v>
      </c>
      <c r="D20" s="8">
        <f>'Gastos mensuales'!$D$11*D13/$B$7</f>
        <v>24000</v>
      </c>
      <c r="E20" s="8">
        <f>'Gastos mensuales'!$D$11*E13/$B$7</f>
        <v>32000</v>
      </c>
      <c r="F20" s="8">
        <f>'Gastos mensuales'!$D$11*F13/$B$7</f>
        <v>40000</v>
      </c>
      <c r="G20" s="8">
        <f>'Gastos mensuales'!$D$11*G13/$B$7</f>
        <v>48000</v>
      </c>
      <c r="H20" s="8">
        <f>'Gastos mensuales'!$D$11*H13/$B$7</f>
        <v>56000</v>
      </c>
      <c r="I20" s="8">
        <f>'Gastos mensuales'!$D$11*I13/$B$7</f>
        <v>64000</v>
      </c>
      <c r="J20" s="8">
        <f>'Gastos mensuales'!$D$11*J13/$B$7</f>
        <v>72000</v>
      </c>
      <c r="K20" s="8">
        <f>'Gastos mensuales'!$D$11*K13/$B$7</f>
        <v>80000</v>
      </c>
      <c r="L20" s="8">
        <f>'Gastos mensuales'!$D$11*L13/$B$7</f>
        <v>88000</v>
      </c>
      <c r="M20" s="8">
        <f>'Gastos mensuales'!$D$11*M13/$B$7</f>
        <v>96000</v>
      </c>
      <c r="N20" s="8">
        <f>'Gastos mensuales'!$D$11*N13/$B$7</f>
        <v>104000</v>
      </c>
      <c r="O20" s="8">
        <f>'Gastos mensuales'!$D$11*O13/$B$7</f>
        <v>112000</v>
      </c>
      <c r="P20" s="8">
        <f>'Gastos mensuales'!$D$11*P13/$B$7</f>
        <v>120000</v>
      </c>
      <c r="Q20" s="8">
        <f>'Gastos mensuales'!$D$11*Q13/$B$7</f>
        <v>128000</v>
      </c>
      <c r="R20" s="8">
        <f>'Gastos mensuales'!$D$11*R13/$B$7</f>
        <v>136000</v>
      </c>
      <c r="S20" s="8">
        <f>'Gastos mensuales'!$D$11*S13/$B$7</f>
        <v>144000</v>
      </c>
      <c r="T20" s="8">
        <f>'Gastos mensuales'!$D$11*T13/$B$7</f>
        <v>152000</v>
      </c>
      <c r="U20" s="8">
        <f>'Gastos mensuales'!$D$11*U13/$B$7</f>
        <v>160000</v>
      </c>
      <c r="V20" s="8">
        <f>'Gastos mensuales'!$D$11*V13/$B$7</f>
        <v>168000</v>
      </c>
      <c r="W20" s="8">
        <f>'Gastos mensuales'!$D$11*W13/$B$7</f>
        <v>176000</v>
      </c>
      <c r="X20" s="8">
        <f>'Gastos mensuales'!$D$11*X13/$B$7</f>
        <v>184000</v>
      </c>
      <c r="Y20" s="8">
        <f>'Gastos mensuales'!$D$11*Y13/$B$7</f>
        <v>192000</v>
      </c>
      <c r="Z20" s="8">
        <f t="shared" si="0"/>
        <v>2400000</v>
      </c>
    </row>
    <row r="21" spans="1:26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8"/>
    </row>
    <row r="22" spans="1:26" x14ac:dyDescent="0.3">
      <c r="A22" s="2" t="s">
        <v>9</v>
      </c>
      <c r="B22" s="8">
        <f t="shared" ref="B22:J22" si="7">B14+B15</f>
        <v>7000</v>
      </c>
      <c r="C22" s="8">
        <f t="shared" si="7"/>
        <v>14000</v>
      </c>
      <c r="D22" s="8">
        <f t="shared" si="7"/>
        <v>21000</v>
      </c>
      <c r="E22" s="8">
        <f t="shared" si="7"/>
        <v>28000</v>
      </c>
      <c r="F22" s="8">
        <f t="shared" si="7"/>
        <v>35000</v>
      </c>
      <c r="G22" s="8">
        <f t="shared" si="7"/>
        <v>42000</v>
      </c>
      <c r="H22" s="8">
        <f t="shared" si="7"/>
        <v>49000</v>
      </c>
      <c r="I22" s="8">
        <f t="shared" si="7"/>
        <v>56000</v>
      </c>
      <c r="J22" s="8">
        <f t="shared" si="7"/>
        <v>63000</v>
      </c>
      <c r="K22" s="8">
        <f t="shared" ref="K22:Y22" si="8">K14+K15</f>
        <v>70000</v>
      </c>
      <c r="L22" s="8">
        <f t="shared" si="8"/>
        <v>77000</v>
      </c>
      <c r="M22" s="8">
        <f t="shared" si="8"/>
        <v>84000</v>
      </c>
      <c r="N22" s="8">
        <f t="shared" si="8"/>
        <v>91000</v>
      </c>
      <c r="O22" s="8">
        <f t="shared" si="8"/>
        <v>98000</v>
      </c>
      <c r="P22" s="8">
        <f t="shared" si="8"/>
        <v>105000</v>
      </c>
      <c r="Q22" s="8">
        <f t="shared" si="8"/>
        <v>112000</v>
      </c>
      <c r="R22" s="8">
        <f t="shared" si="8"/>
        <v>119000</v>
      </c>
      <c r="S22" s="8">
        <f t="shared" si="8"/>
        <v>126000</v>
      </c>
      <c r="T22" s="8">
        <f t="shared" si="8"/>
        <v>133000</v>
      </c>
      <c r="U22" s="8">
        <f t="shared" si="8"/>
        <v>140000</v>
      </c>
      <c r="V22" s="8">
        <f t="shared" si="8"/>
        <v>147000</v>
      </c>
      <c r="W22" s="8">
        <f t="shared" si="8"/>
        <v>154000</v>
      </c>
      <c r="X22" s="8">
        <f t="shared" si="8"/>
        <v>161000</v>
      </c>
      <c r="Y22" s="8">
        <f t="shared" si="8"/>
        <v>168000</v>
      </c>
      <c r="Z22" s="8">
        <f t="shared" si="0"/>
        <v>2100000</v>
      </c>
    </row>
    <row r="23" spans="1:26" x14ac:dyDescent="0.3">
      <c r="A23" s="2" t="s">
        <v>10</v>
      </c>
      <c r="B23" s="8">
        <f t="shared" ref="B23:J23" si="9">B17+B18+B19</f>
        <v>311200</v>
      </c>
      <c r="C23" s="8">
        <f t="shared" si="9"/>
        <v>311900</v>
      </c>
      <c r="D23" s="8">
        <f t="shared" si="9"/>
        <v>312600</v>
      </c>
      <c r="E23" s="8">
        <f t="shared" si="9"/>
        <v>313300</v>
      </c>
      <c r="F23" s="8">
        <f t="shared" si="9"/>
        <v>314000</v>
      </c>
      <c r="G23" s="8">
        <f t="shared" si="9"/>
        <v>314700</v>
      </c>
      <c r="H23" s="8">
        <f t="shared" si="9"/>
        <v>315400</v>
      </c>
      <c r="I23" s="8">
        <f t="shared" si="9"/>
        <v>316100</v>
      </c>
      <c r="J23" s="8">
        <f t="shared" si="9"/>
        <v>316800</v>
      </c>
      <c r="K23" s="8">
        <f t="shared" ref="K23:Y23" si="10">K17+K18+K19</f>
        <v>317500</v>
      </c>
      <c r="L23" s="8">
        <f t="shared" si="10"/>
        <v>318200</v>
      </c>
      <c r="M23" s="8">
        <f t="shared" si="10"/>
        <v>318900</v>
      </c>
      <c r="N23" s="8">
        <f t="shared" si="10"/>
        <v>319600</v>
      </c>
      <c r="O23" s="8">
        <f t="shared" si="10"/>
        <v>320300</v>
      </c>
      <c r="P23" s="8">
        <f t="shared" si="10"/>
        <v>321000</v>
      </c>
      <c r="Q23" s="8">
        <f t="shared" si="10"/>
        <v>321700</v>
      </c>
      <c r="R23" s="8">
        <f t="shared" si="10"/>
        <v>322400</v>
      </c>
      <c r="S23" s="8">
        <f t="shared" si="10"/>
        <v>323100</v>
      </c>
      <c r="T23" s="8">
        <f t="shared" si="10"/>
        <v>323800</v>
      </c>
      <c r="U23" s="8">
        <f t="shared" si="10"/>
        <v>324500</v>
      </c>
      <c r="V23" s="8">
        <f t="shared" si="10"/>
        <v>325200</v>
      </c>
      <c r="W23" s="8">
        <f t="shared" si="10"/>
        <v>325900</v>
      </c>
      <c r="X23" s="8">
        <f t="shared" si="10"/>
        <v>326600</v>
      </c>
      <c r="Y23" s="8">
        <f t="shared" si="10"/>
        <v>327300</v>
      </c>
      <c r="Z23" s="8">
        <f t="shared" si="0"/>
        <v>7662000</v>
      </c>
    </row>
    <row r="24" spans="1:26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8"/>
    </row>
    <row r="25" spans="1:26" x14ac:dyDescent="0.3">
      <c r="A25" s="2" t="s">
        <v>0</v>
      </c>
      <c r="B25" s="8">
        <f t="shared" ref="B25:J25" si="11">B22-B23</f>
        <v>-304200</v>
      </c>
      <c r="C25" s="8">
        <f t="shared" si="11"/>
        <v>-297900</v>
      </c>
      <c r="D25" s="8">
        <f t="shared" si="11"/>
        <v>-291600</v>
      </c>
      <c r="E25" s="8">
        <f t="shared" si="11"/>
        <v>-285300</v>
      </c>
      <c r="F25" s="8">
        <f t="shared" si="11"/>
        <v>-279000</v>
      </c>
      <c r="G25" s="8">
        <f t="shared" si="11"/>
        <v>-272700</v>
      </c>
      <c r="H25" s="8">
        <f t="shared" si="11"/>
        <v>-266400</v>
      </c>
      <c r="I25" s="8">
        <f t="shared" si="11"/>
        <v>-260100</v>
      </c>
      <c r="J25" s="8">
        <f t="shared" si="11"/>
        <v>-253800</v>
      </c>
      <c r="K25" s="8">
        <f t="shared" ref="K25:Y25" si="12">K22-K23</f>
        <v>-247500</v>
      </c>
      <c r="L25" s="8">
        <f t="shared" si="12"/>
        <v>-241200</v>
      </c>
      <c r="M25" s="8">
        <f t="shared" si="12"/>
        <v>-234900</v>
      </c>
      <c r="N25" s="8">
        <f t="shared" si="12"/>
        <v>-228600</v>
      </c>
      <c r="O25" s="8">
        <f t="shared" si="12"/>
        <v>-222300</v>
      </c>
      <c r="P25" s="8">
        <f t="shared" si="12"/>
        <v>-216000</v>
      </c>
      <c r="Q25" s="8">
        <f t="shared" si="12"/>
        <v>-209700</v>
      </c>
      <c r="R25" s="8">
        <f t="shared" si="12"/>
        <v>-203400</v>
      </c>
      <c r="S25" s="8">
        <f t="shared" si="12"/>
        <v>-197100</v>
      </c>
      <c r="T25" s="8">
        <f t="shared" si="12"/>
        <v>-190800</v>
      </c>
      <c r="U25" s="8">
        <f t="shared" si="12"/>
        <v>-184500</v>
      </c>
      <c r="V25" s="8">
        <f t="shared" si="12"/>
        <v>-178200</v>
      </c>
      <c r="W25" s="8">
        <f t="shared" si="12"/>
        <v>-171900</v>
      </c>
      <c r="X25" s="8">
        <f t="shared" si="12"/>
        <v>-165600</v>
      </c>
      <c r="Y25" s="8">
        <f t="shared" si="12"/>
        <v>-159300</v>
      </c>
      <c r="Z25" s="8">
        <f>SUM(B25:Y25)</f>
        <v>-5562000</v>
      </c>
    </row>
  </sheetData>
  <mergeCells count="5">
    <mergeCell ref="D1:F1"/>
    <mergeCell ref="A10:Z10"/>
    <mergeCell ref="D2:E2"/>
    <mergeCell ref="D3:E3"/>
    <mergeCell ref="D4:E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 mensuales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Carus</dc:creator>
  <cp:lastModifiedBy>enrique villalon</cp:lastModifiedBy>
  <dcterms:created xsi:type="dcterms:W3CDTF">2021-09-15T00:57:23Z</dcterms:created>
  <dcterms:modified xsi:type="dcterms:W3CDTF">2025-11-17T23:25:39Z</dcterms:modified>
</cp:coreProperties>
</file>